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sk\Desktop\"/>
    </mc:Choice>
  </mc:AlternateContent>
  <xr:revisionPtr revIDLastSave="0" documentId="8_{97F1250D-D87D-4C0E-B9BC-F8F68624A98A}" xr6:coauthVersionLast="47" xr6:coauthVersionMax="47" xr10:uidLastSave="{00000000-0000-0000-0000-000000000000}"/>
  <bookViews>
    <workbookView xWindow="-120" yWindow="-120" windowWidth="29040" windowHeight="15720" activeTab="2" xr2:uid="{2497B5A4-F5F6-4172-901E-79C00B692D0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4" i="2" l="1"/>
  <c r="N28" i="2" s="1"/>
  <c r="G14" i="2"/>
  <c r="G15" i="2" s="1"/>
  <c r="I17" i="2"/>
  <c r="K13" i="2"/>
  <c r="K12" i="2"/>
  <c r="K11" i="2"/>
  <c r="K10" i="2"/>
  <c r="K9" i="2"/>
  <c r="K8" i="2"/>
  <c r="K7" i="2"/>
  <c r="K6" i="2"/>
  <c r="K5" i="2"/>
  <c r="K4" i="2"/>
  <c r="K3" i="2"/>
  <c r="K2" i="2"/>
  <c r="L12" i="1"/>
  <c r="L11" i="1"/>
  <c r="L10" i="1"/>
  <c r="L9" i="1"/>
  <c r="L8" i="1"/>
  <c r="G16" i="2" l="1"/>
</calcChain>
</file>

<file path=xl/sharedStrings.xml><?xml version="1.0" encoding="utf-8"?>
<sst xmlns="http://schemas.openxmlformats.org/spreadsheetml/2006/main" count="113" uniqueCount="66">
  <si>
    <t>Majeste Vitamin C Face Wash 100ml</t>
  </si>
  <si>
    <t>Pcs.</t>
  </si>
  <si>
    <t>Majeste Papaya Face Wash 100ml</t>
  </si>
  <si>
    <t>Majeste De -Tan Facewash 100ml</t>
  </si>
  <si>
    <t>Majeste Vitamin E+B3 Facewash 100Ml</t>
  </si>
  <si>
    <t>Nalvya</t>
  </si>
  <si>
    <t>68462CMLI</t>
  </si>
  <si>
    <t>APS MJST Kingdom 100ml</t>
  </si>
  <si>
    <t>APS MJST Coco 100ml</t>
  </si>
  <si>
    <t>APS MJST Brillia 100ml</t>
  </si>
  <si>
    <t>APS MJST Dawn 100ml</t>
  </si>
  <si>
    <t>APS MJST FLORELLE 50ML</t>
  </si>
  <si>
    <t>APS MJST BLACK FURY 50ML</t>
  </si>
  <si>
    <t>Item</t>
  </si>
  <si>
    <t>Qty</t>
  </si>
  <si>
    <t>Amount</t>
  </si>
  <si>
    <t>Billing</t>
  </si>
  <si>
    <t>Perfume</t>
  </si>
  <si>
    <t>DP 499</t>
  </si>
  <si>
    <t>Balacnce Amount</t>
  </si>
  <si>
    <t>S. NO</t>
  </si>
  <si>
    <t>Product Name</t>
  </si>
  <si>
    <t>Vitaminc</t>
  </si>
  <si>
    <t>https://www.amazon.in/dp/B0GP6WTT69?th=1</t>
  </si>
  <si>
    <t>AcnoShield </t>
  </si>
  <si>
    <t>https://www.amazon.in/dp/B0GWMPBDHK</t>
  </si>
  <si>
    <t>DeTan</t>
  </si>
  <si>
    <t>https://www.amazon.in/dp/B0GS8YW1GG</t>
  </si>
  <si>
    <t>Papaya </t>
  </si>
  <si>
    <t>https://www.amazon.in/dp/B0GPK83SFC</t>
  </si>
  <si>
    <t>E + B3</t>
  </si>
  <si>
    <t>https://www.amazon.in/dp/B0GVJR57XB</t>
  </si>
  <si>
    <t>https://www.amazon.in/dp/B0F4DDG3SB</t>
  </si>
  <si>
    <t>coco</t>
  </si>
  <si>
    <t>https://www.amazon.in/dp/B0F4DD84C7?th=1</t>
  </si>
  <si>
    <t>Brillia</t>
  </si>
  <si>
    <t>Hocco</t>
  </si>
  <si>
    <t>https://www.amazon.in/dp/B0F4DB3Q72</t>
  </si>
  <si>
    <t>Destiny</t>
  </si>
  <si>
    <t>https://www.amazon.in/dp/B0F4D8WP2N?th=1</t>
  </si>
  <si>
    <t>Legend</t>
  </si>
  <si>
    <t>https://www.amazon.in/dp/B0F4DB16WD?th=1</t>
  </si>
  <si>
    <t>Dawn</t>
  </si>
  <si>
    <t>https://www.amazon.in/dp/B0F4D76K87</t>
  </si>
  <si>
    <t>https://www.amazon.in/dp/B0F4D78NJB</t>
  </si>
  <si>
    <t>Kingdom</t>
  </si>
  <si>
    <t>Florelle</t>
  </si>
  <si>
    <t>https://www.amazon.in/dp/B0DN1D58NM?th=1</t>
  </si>
  <si>
    <t>Black Fury</t>
  </si>
  <si>
    <t>https://www.amazon.in/dp/B0DLWS457G</t>
  </si>
  <si>
    <t>Amazon ASIN Link</t>
  </si>
  <si>
    <t>Myntra Link</t>
  </si>
  <si>
    <t>https://www.myntra.com/perfume/aps+majeste/aps-majeste-women-coco-long-lasting-eau-de-parfum---100-ml/35572612/buy</t>
  </si>
  <si>
    <t>https://www.myntra.com/perfume/aps+majeste/aps-majeste-men-black-fury-long-lasting-eau-de-parfum---50-ml/35566071/buy</t>
  </si>
  <si>
    <t>https://www.myntra.com/perfume/aps+majeste/aps-majeste-men-legend-long-lasting-eau-de-parfum---100-ml/35566069/buy</t>
  </si>
  <si>
    <t>https://www.myntra.com/perfume/aps+majeste/aps-majeste-men-dawn-long-lasting-eau-de-parfum---100-ml/35566067/buy</t>
  </si>
  <si>
    <t>https://www.myntra.com/perfume/aps+majeste/aps-majeste-women-destiny-eau-de-parfum---100-ml/35741456/buy</t>
  </si>
  <si>
    <t>https://www.myntra.com/perfume/aps+majeste/aps-majeste-women-brillia-long-lasting-eau-de-parfum---100-ml/35572569/buy</t>
  </si>
  <si>
    <t>https://www.myntra.com/perfume/aps+majeste/aps-majeste-men-hocco-long-lasting-eau-de-parfum---100-ml/35572561/buy</t>
  </si>
  <si>
    <t>https://www.myntra.com/perfume/aps+majeste/aps-majeste-men-kingdom-long-lasting-eau-de-parfum---100-ml/35572560/buy</t>
  </si>
  <si>
    <t>https://www.myntra.com/perfume/aps+majeste/aps-majeste-women-florelle-long-lasting-eau-de-parfum---50-ml/35566075/buy</t>
  </si>
  <si>
    <t>https://www.myntra.com/face-wash-and-cleanser/aps+majeste/aps-majeste-vitamin-eb3-clear--glow-face-wash---100-ml/41558893/buy</t>
  </si>
  <si>
    <t>https://www.myntra.com/face-wash-and-cleanser/aps+majeste/aps-majeste-papaya-glow-face-wash---100-ml/41558887/buy</t>
  </si>
  <si>
    <t>https://www.myntra.com/face-wash-and-cleanser/aps+majeste/aps-majeste-acno-shield-face-wash---100-ml/41556650/buy</t>
  </si>
  <si>
    <t>https://www.myntra.com/face-wash-and-cleanser/aps+majeste/aps-majeste-vitamin-c-glow-face-wash---100-ml/41558891/buy</t>
  </si>
  <si>
    <t>https://www.myntra.com/face-wash-and-cleanser/aps+majeste/aps-majeste-radiance-cleanse-de-tan-face-wash----100-ml/41558888/buy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</si>
</sst>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rgb="FF0F111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4FC4-D629-4852-BB5B-974DF1C68AC2}">
  <dimension ref="G8:L21"/>
  <sheetViews>
    <sheetView workbookViewId="0">
      <selection activeCell="G17" sqref="G17:K21"/>
    </sheetView>
  </sheetViews>
  <sheetFormatPr defaultRowHeight="15" x14ac:dyDescent="0.25"/>
  <cols>
    <col min="12" max="12" width="10.7109375" bestFit="1" customWidth="1"/>
  </cols>
  <sheetData>
    <row r="8" spans="7:12" x14ac:dyDescent="0.25">
      <c r="G8" t="s">
        <v>5</v>
      </c>
      <c r="H8" t="s">
        <v>0</v>
      </c>
      <c r="I8">
        <v>600</v>
      </c>
      <c r="J8" t="s">
        <v>1</v>
      </c>
      <c r="K8">
        <v>92.66</v>
      </c>
      <c r="L8" s="1">
        <f>K8*I8</f>
        <v>55596</v>
      </c>
    </row>
    <row r="9" spans="7:12" x14ac:dyDescent="0.25">
      <c r="H9" t="s">
        <v>2</v>
      </c>
      <c r="I9">
        <v>600</v>
      </c>
      <c r="J9" t="s">
        <v>1</v>
      </c>
      <c r="K9">
        <v>92.66</v>
      </c>
      <c r="L9" s="1">
        <f t="shared" ref="L9:L11" si="0">K9*I9</f>
        <v>55596</v>
      </c>
    </row>
    <row r="10" spans="7:12" x14ac:dyDescent="0.25">
      <c r="H10" t="s">
        <v>3</v>
      </c>
      <c r="I10">
        <v>600</v>
      </c>
      <c r="J10" t="s">
        <v>1</v>
      </c>
      <c r="K10">
        <v>92.66</v>
      </c>
      <c r="L10" s="1">
        <f t="shared" si="0"/>
        <v>55596</v>
      </c>
    </row>
    <row r="11" spans="7:12" x14ac:dyDescent="0.25">
      <c r="H11" t="s">
        <v>4</v>
      </c>
      <c r="I11">
        <v>600</v>
      </c>
      <c r="J11" t="s">
        <v>1</v>
      </c>
      <c r="K11">
        <v>92.66</v>
      </c>
      <c r="L11" s="1">
        <f t="shared" si="0"/>
        <v>55596</v>
      </c>
    </row>
    <row r="12" spans="7:12" x14ac:dyDescent="0.25">
      <c r="L12" s="1">
        <f>SUM(L8:L11)</f>
        <v>222384</v>
      </c>
    </row>
    <row r="17" spans="7:11" x14ac:dyDescent="0.25">
      <c r="G17" t="s">
        <v>6</v>
      </c>
      <c r="H17">
        <v>1</v>
      </c>
      <c r="I17" t="s">
        <v>1</v>
      </c>
      <c r="J17">
        <v>932.2</v>
      </c>
      <c r="K17">
        <v>932.2</v>
      </c>
    </row>
    <row r="18" spans="7:11" x14ac:dyDescent="0.25">
      <c r="G18" t="s">
        <v>0</v>
      </c>
      <c r="H18">
        <v>600</v>
      </c>
      <c r="I18" t="s">
        <v>1</v>
      </c>
      <c r="J18">
        <v>92.66</v>
      </c>
      <c r="K18" s="1">
        <v>55596</v>
      </c>
    </row>
    <row r="19" spans="7:11" x14ac:dyDescent="0.25">
      <c r="G19" t="s">
        <v>2</v>
      </c>
      <c r="H19">
        <v>600</v>
      </c>
      <c r="I19" t="s">
        <v>1</v>
      </c>
      <c r="J19">
        <v>92.66</v>
      </c>
      <c r="K19" s="1">
        <v>55596</v>
      </c>
    </row>
    <row r="20" spans="7:11" x14ac:dyDescent="0.25">
      <c r="G20" t="s">
        <v>3</v>
      </c>
      <c r="H20">
        <v>600</v>
      </c>
      <c r="I20" t="s">
        <v>1</v>
      </c>
      <c r="J20">
        <v>92.66</v>
      </c>
      <c r="K20" s="1">
        <v>55596</v>
      </c>
    </row>
    <row r="21" spans="7:11" x14ac:dyDescent="0.25">
      <c r="G21" t="s">
        <v>4</v>
      </c>
      <c r="H21">
        <v>600</v>
      </c>
      <c r="I21" t="s">
        <v>1</v>
      </c>
      <c r="J21">
        <v>92.66</v>
      </c>
      <c r="K21" s="1">
        <v>55596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A06E-9FFE-4155-926B-5203A4826F66}">
  <dimension ref="A2:P28"/>
  <sheetViews>
    <sheetView topLeftCell="A19" workbookViewId="0">
      <selection activeCell="P17" sqref="P17"/>
    </sheetView>
  </sheetViews>
  <sheetFormatPr defaultRowHeight="15" x14ac:dyDescent="0.25"/>
  <cols>
    <col min="1" max="1" width="25.7109375" bestFit="1" customWidth="1"/>
    <col min="2" max="2" width="2" bestFit="1" customWidth="1"/>
    <col min="3" max="3" width="4.42578125" bestFit="1" customWidth="1"/>
    <col min="4" max="4" width="8.140625" bestFit="1" customWidth="1"/>
    <col min="5" max="5" width="2" bestFit="1" customWidth="1"/>
    <col min="6" max="6" width="7" bestFit="1" customWidth="1"/>
    <col min="7" max="7" width="9" bestFit="1" customWidth="1"/>
    <col min="9" max="9" width="25.7109375" bestFit="1" customWidth="1"/>
    <col min="14" max="14" width="13.42578125" customWidth="1"/>
    <col min="15" max="15" width="7" customWidth="1"/>
    <col min="16" max="16" width="12.7109375" customWidth="1"/>
  </cols>
  <sheetData>
    <row r="2" spans="1:11" x14ac:dyDescent="0.25">
      <c r="A2" t="s">
        <v>7</v>
      </c>
      <c r="B2">
        <v>3</v>
      </c>
      <c r="C2" t="s">
        <v>1</v>
      </c>
      <c r="D2" s="1">
        <v>1799</v>
      </c>
      <c r="E2">
        <v>0</v>
      </c>
      <c r="F2">
        <v>422.88</v>
      </c>
      <c r="G2" s="1">
        <v>1268.6400000000001</v>
      </c>
      <c r="I2" t="s">
        <v>7</v>
      </c>
      <c r="J2">
        <v>2</v>
      </c>
      <c r="K2">
        <f>B2-J2</f>
        <v>1</v>
      </c>
    </row>
    <row r="3" spans="1:11" x14ac:dyDescent="0.25">
      <c r="A3" t="s">
        <v>8</v>
      </c>
      <c r="B3">
        <v>3</v>
      </c>
      <c r="C3" t="s">
        <v>1</v>
      </c>
      <c r="D3" s="1">
        <v>1799</v>
      </c>
      <c r="E3">
        <v>0</v>
      </c>
      <c r="F3">
        <v>422.88</v>
      </c>
      <c r="G3" s="1">
        <v>1268.6400000000001</v>
      </c>
      <c r="I3" t="s">
        <v>8</v>
      </c>
      <c r="J3">
        <v>3</v>
      </c>
      <c r="K3">
        <f t="shared" ref="K3:K13" si="0">B3-J3</f>
        <v>0</v>
      </c>
    </row>
    <row r="4" spans="1:11" x14ac:dyDescent="0.25">
      <c r="A4" t="s">
        <v>9</v>
      </c>
      <c r="B4">
        <v>3</v>
      </c>
      <c r="C4" t="s">
        <v>1</v>
      </c>
      <c r="D4" s="1">
        <v>1799</v>
      </c>
      <c r="E4">
        <v>0</v>
      </c>
      <c r="F4">
        <v>422.88</v>
      </c>
      <c r="G4" s="1">
        <v>1268.6400000000001</v>
      </c>
      <c r="I4" t="s">
        <v>9</v>
      </c>
      <c r="J4">
        <v>3</v>
      </c>
      <c r="K4">
        <f t="shared" si="0"/>
        <v>0</v>
      </c>
    </row>
    <row r="5" spans="1:11" x14ac:dyDescent="0.25">
      <c r="A5" t="s">
        <v>10</v>
      </c>
      <c r="B5">
        <v>3</v>
      </c>
      <c r="C5" t="s">
        <v>1</v>
      </c>
      <c r="D5" s="1">
        <v>1799</v>
      </c>
      <c r="E5">
        <v>0</v>
      </c>
      <c r="F5">
        <v>422.88</v>
      </c>
      <c r="G5" s="1">
        <v>1268.6400000000001</v>
      </c>
      <c r="I5" t="s">
        <v>10</v>
      </c>
      <c r="J5">
        <v>1</v>
      </c>
      <c r="K5">
        <f t="shared" si="0"/>
        <v>2</v>
      </c>
    </row>
    <row r="6" spans="1:11" x14ac:dyDescent="0.25">
      <c r="A6" t="s">
        <v>7</v>
      </c>
      <c r="B6">
        <v>1</v>
      </c>
      <c r="C6" t="s">
        <v>1</v>
      </c>
      <c r="D6" s="1">
        <v>1799</v>
      </c>
      <c r="E6">
        <v>0</v>
      </c>
      <c r="F6">
        <v>1</v>
      </c>
      <c r="G6">
        <v>1</v>
      </c>
      <c r="I6" t="s">
        <v>7</v>
      </c>
      <c r="J6">
        <v>1</v>
      </c>
      <c r="K6">
        <f t="shared" si="0"/>
        <v>0</v>
      </c>
    </row>
    <row r="7" spans="1:11" x14ac:dyDescent="0.25">
      <c r="A7" t="s">
        <v>8</v>
      </c>
      <c r="B7">
        <v>1</v>
      </c>
      <c r="C7" t="s">
        <v>1</v>
      </c>
      <c r="D7" s="1">
        <v>1799</v>
      </c>
      <c r="E7">
        <v>0</v>
      </c>
      <c r="F7">
        <v>1</v>
      </c>
      <c r="G7">
        <v>1</v>
      </c>
      <c r="I7" t="s">
        <v>8</v>
      </c>
      <c r="J7">
        <v>1</v>
      </c>
      <c r="K7">
        <f t="shared" si="0"/>
        <v>0</v>
      </c>
    </row>
    <row r="8" spans="1:11" x14ac:dyDescent="0.25">
      <c r="A8" t="s">
        <v>9</v>
      </c>
      <c r="B8">
        <v>1</v>
      </c>
      <c r="C8" t="s">
        <v>1</v>
      </c>
      <c r="D8" s="1">
        <v>1799</v>
      </c>
      <c r="E8">
        <v>0</v>
      </c>
      <c r="F8">
        <v>1</v>
      </c>
      <c r="G8">
        <v>1</v>
      </c>
      <c r="I8" t="s">
        <v>9</v>
      </c>
      <c r="J8">
        <v>1</v>
      </c>
      <c r="K8">
        <f t="shared" si="0"/>
        <v>0</v>
      </c>
    </row>
    <row r="9" spans="1:11" x14ac:dyDescent="0.25">
      <c r="A9" t="s">
        <v>10</v>
      </c>
      <c r="B9">
        <v>2</v>
      </c>
      <c r="C9" t="s">
        <v>1</v>
      </c>
      <c r="D9" s="1">
        <v>1799</v>
      </c>
      <c r="E9">
        <v>0</v>
      </c>
      <c r="F9">
        <v>1</v>
      </c>
      <c r="G9">
        <v>2</v>
      </c>
      <c r="I9" t="s">
        <v>10</v>
      </c>
      <c r="J9">
        <v>2</v>
      </c>
      <c r="K9">
        <f t="shared" si="0"/>
        <v>0</v>
      </c>
    </row>
    <row r="10" spans="1:11" x14ac:dyDescent="0.25">
      <c r="A10" t="s">
        <v>11</v>
      </c>
      <c r="B10">
        <v>3</v>
      </c>
      <c r="C10" t="s">
        <v>1</v>
      </c>
      <c r="D10" s="1">
        <v>2499</v>
      </c>
      <c r="E10">
        <v>0</v>
      </c>
      <c r="F10">
        <v>338.14</v>
      </c>
      <c r="G10" s="1">
        <v>1014.42</v>
      </c>
      <c r="I10" t="s">
        <v>11</v>
      </c>
      <c r="J10">
        <v>3</v>
      </c>
      <c r="K10">
        <f t="shared" si="0"/>
        <v>0</v>
      </c>
    </row>
    <row r="11" spans="1:11" x14ac:dyDescent="0.25">
      <c r="A11" t="s">
        <v>12</v>
      </c>
      <c r="B11">
        <v>3</v>
      </c>
      <c r="C11" t="s">
        <v>1</v>
      </c>
      <c r="D11" s="1">
        <v>2499</v>
      </c>
      <c r="E11">
        <v>0</v>
      </c>
      <c r="F11">
        <v>338.14</v>
      </c>
      <c r="G11" s="1">
        <v>1014.42</v>
      </c>
      <c r="I11" t="s">
        <v>12</v>
      </c>
      <c r="J11">
        <v>3</v>
      </c>
      <c r="K11">
        <f t="shared" si="0"/>
        <v>0</v>
      </c>
    </row>
    <row r="12" spans="1:11" x14ac:dyDescent="0.25">
      <c r="A12" t="s">
        <v>11</v>
      </c>
      <c r="B12">
        <v>2</v>
      </c>
      <c r="C12" t="s">
        <v>1</v>
      </c>
      <c r="D12" s="1">
        <v>2499</v>
      </c>
      <c r="E12">
        <v>0</v>
      </c>
      <c r="F12">
        <v>1</v>
      </c>
      <c r="G12">
        <v>2</v>
      </c>
      <c r="I12" t="s">
        <v>11</v>
      </c>
      <c r="J12">
        <v>2</v>
      </c>
      <c r="K12">
        <f t="shared" si="0"/>
        <v>0</v>
      </c>
    </row>
    <row r="13" spans="1:11" x14ac:dyDescent="0.25">
      <c r="A13" t="s">
        <v>12</v>
      </c>
      <c r="B13">
        <v>1</v>
      </c>
      <c r="C13" t="s">
        <v>1</v>
      </c>
      <c r="D13" s="1">
        <v>2499</v>
      </c>
      <c r="E13">
        <v>0</v>
      </c>
      <c r="F13">
        <v>1</v>
      </c>
      <c r="G13">
        <v>1</v>
      </c>
      <c r="I13" t="s">
        <v>12</v>
      </c>
      <c r="J13">
        <v>1</v>
      </c>
      <c r="K13">
        <f t="shared" si="0"/>
        <v>0</v>
      </c>
    </row>
    <row r="14" spans="1:11" x14ac:dyDescent="0.25">
      <c r="G14" s="1">
        <f>SUM(G2:G13)</f>
        <v>7111.4000000000005</v>
      </c>
    </row>
    <row r="15" spans="1:11" x14ac:dyDescent="0.25">
      <c r="G15">
        <f>G14*1.18</f>
        <v>8391.4519999999993</v>
      </c>
    </row>
    <row r="16" spans="1:11" x14ac:dyDescent="0.25">
      <c r="G16">
        <f>G15-I17</f>
        <v>6894.4519999999993</v>
      </c>
    </row>
    <row r="17" spans="9:16" x14ac:dyDescent="0.25">
      <c r="I17">
        <f>499*3</f>
        <v>1497</v>
      </c>
    </row>
    <row r="18" spans="9:16" x14ac:dyDescent="0.25">
      <c r="N18" s="4" t="s">
        <v>16</v>
      </c>
      <c r="O18" s="4"/>
      <c r="P18" s="4"/>
    </row>
    <row r="19" spans="9:16" x14ac:dyDescent="0.25">
      <c r="N19" s="5" t="s">
        <v>13</v>
      </c>
      <c r="O19" s="5" t="s">
        <v>14</v>
      </c>
      <c r="P19" s="5" t="s">
        <v>15</v>
      </c>
    </row>
    <row r="20" spans="9:16" x14ac:dyDescent="0.25">
      <c r="N20" s="5" t="s">
        <v>17</v>
      </c>
      <c r="O20" s="5">
        <v>26</v>
      </c>
      <c r="P20" s="5">
        <v>8391.4519999999993</v>
      </c>
    </row>
    <row r="21" spans="9:16" x14ac:dyDescent="0.25">
      <c r="N21" s="2"/>
      <c r="O21" s="2"/>
      <c r="P21" s="2"/>
    </row>
    <row r="22" spans="9:16" x14ac:dyDescent="0.25">
      <c r="N22" s="3" t="s">
        <v>16</v>
      </c>
      <c r="O22" s="3"/>
      <c r="P22" s="3"/>
    </row>
    <row r="23" spans="9:16" x14ac:dyDescent="0.25">
      <c r="N23" s="5" t="s">
        <v>13</v>
      </c>
      <c r="O23" s="5" t="s">
        <v>14</v>
      </c>
      <c r="P23" s="5" t="s">
        <v>15</v>
      </c>
    </row>
    <row r="24" spans="9:16" x14ac:dyDescent="0.25">
      <c r="N24" s="5" t="s">
        <v>17</v>
      </c>
      <c r="O24" s="5">
        <v>3</v>
      </c>
      <c r="P24" s="5">
        <f>499*3</f>
        <v>1497</v>
      </c>
    </row>
    <row r="25" spans="9:16" x14ac:dyDescent="0.25">
      <c r="N25" s="5" t="s">
        <v>18</v>
      </c>
      <c r="O25" s="5"/>
      <c r="P25" s="5"/>
    </row>
    <row r="26" spans="9:16" x14ac:dyDescent="0.25">
      <c r="N26" s="6"/>
      <c r="O26" s="6"/>
      <c r="P26" s="6"/>
    </row>
    <row r="27" spans="9:16" x14ac:dyDescent="0.25">
      <c r="N27" s="3" t="s">
        <v>19</v>
      </c>
      <c r="O27" s="3"/>
      <c r="P27" s="3"/>
    </row>
    <row r="28" spans="9:16" x14ac:dyDescent="0.25">
      <c r="N28" s="4">
        <f>P20-P24</f>
        <v>6894.4519999999993</v>
      </c>
      <c r="O28" s="4"/>
      <c r="P28" s="4"/>
    </row>
  </sheetData>
  <mergeCells count="4">
    <mergeCell ref="N18:P18"/>
    <mergeCell ref="N22:P22"/>
    <mergeCell ref="N27:P27"/>
    <mergeCell ref="N28:P28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4A80-45AA-42A0-8D25-9C960B819AA6}">
  <dimension ref="A1:D15"/>
  <sheetViews>
    <sheetView tabSelected="1" workbookViewId="0">
      <selection activeCell="D25" sqref="D25"/>
    </sheetView>
  </sheetViews>
  <sheetFormatPr defaultRowHeight="15" x14ac:dyDescent="0.25"/>
  <cols>
    <col min="2" max="2" width="13.7109375" bestFit="1" customWidth="1"/>
    <col min="3" max="3" width="44.5703125" bestFit="1" customWidth="1"/>
    <col min="4" max="4" width="127.28515625" bestFit="1" customWidth="1"/>
  </cols>
  <sheetData>
    <row r="1" spans="1:4" x14ac:dyDescent="0.25">
      <c r="A1" t="s">
        <v>20</v>
      </c>
      <c r="B1" t="s">
        <v>21</v>
      </c>
      <c r="C1" t="s">
        <v>50</v>
      </c>
      <c r="D1" t="s">
        <v>51</v>
      </c>
    </row>
    <row r="2" spans="1:4" x14ac:dyDescent="0.25">
      <c r="A2">
        <v>1</v>
      </c>
      <c r="B2" s="7" t="s">
        <v>22</v>
      </c>
      <c r="C2" t="s">
        <v>23</v>
      </c>
      <c r="D2" t="s">
        <v>64</v>
      </c>
    </row>
    <row r="3" spans="1:4" x14ac:dyDescent="0.25">
      <c r="A3">
        <v>2</v>
      </c>
      <c r="B3" s="8" t="s">
        <v>24</v>
      </c>
      <c r="C3" t="s">
        <v>25</v>
      </c>
      <c r="D3" t="s">
        <v>63</v>
      </c>
    </row>
    <row r="4" spans="1:4" x14ac:dyDescent="0.25">
      <c r="A4">
        <v>3</v>
      </c>
      <c r="B4" s="8" t="s">
        <v>26</v>
      </c>
      <c r="C4" t="s">
        <v>27</v>
      </c>
      <c r="D4" t="s">
        <v>65</v>
      </c>
    </row>
    <row r="5" spans="1:4" x14ac:dyDescent="0.25">
      <c r="A5">
        <v>4</v>
      </c>
      <c r="B5" s="8" t="s">
        <v>28</v>
      </c>
      <c r="C5" t="s">
        <v>29</v>
      </c>
      <c r="D5" t="s">
        <v>62</v>
      </c>
    </row>
    <row r="6" spans="1:4" x14ac:dyDescent="0.25">
      <c r="A6">
        <v>5</v>
      </c>
      <c r="B6" s="8" t="s">
        <v>30</v>
      </c>
      <c r="C6" t="s">
        <v>31</v>
      </c>
      <c r="D6" t="s">
        <v>61</v>
      </c>
    </row>
    <row r="7" spans="1:4" x14ac:dyDescent="0.25">
      <c r="A7">
        <v>6</v>
      </c>
      <c r="B7" s="8" t="s">
        <v>33</v>
      </c>
      <c r="C7" t="s">
        <v>32</v>
      </c>
      <c r="D7" t="s">
        <v>52</v>
      </c>
    </row>
    <row r="8" spans="1:4" x14ac:dyDescent="0.25">
      <c r="A8">
        <v>7</v>
      </c>
      <c r="B8" s="8" t="s">
        <v>35</v>
      </c>
      <c r="C8" t="s">
        <v>34</v>
      </c>
      <c r="D8" t="s">
        <v>57</v>
      </c>
    </row>
    <row r="9" spans="1:4" x14ac:dyDescent="0.25">
      <c r="A9">
        <v>8</v>
      </c>
      <c r="B9" s="8" t="s">
        <v>36</v>
      </c>
      <c r="C9" t="s">
        <v>37</v>
      </c>
      <c r="D9" t="s">
        <v>58</v>
      </c>
    </row>
    <row r="10" spans="1:4" x14ac:dyDescent="0.25">
      <c r="A10">
        <v>9</v>
      </c>
      <c r="B10" s="8" t="s">
        <v>38</v>
      </c>
      <c r="C10" t="s">
        <v>39</v>
      </c>
      <c r="D10" t="s">
        <v>56</v>
      </c>
    </row>
    <row r="11" spans="1:4" x14ac:dyDescent="0.25">
      <c r="A11">
        <v>10</v>
      </c>
      <c r="B11" s="8" t="s">
        <v>40</v>
      </c>
      <c r="C11" t="s">
        <v>41</v>
      </c>
      <c r="D11" t="s">
        <v>54</v>
      </c>
    </row>
    <row r="12" spans="1:4" x14ac:dyDescent="0.25">
      <c r="A12">
        <v>11</v>
      </c>
      <c r="B12" s="8" t="s">
        <v>42</v>
      </c>
      <c r="C12" t="s">
        <v>43</v>
      </c>
      <c r="D12" t="s">
        <v>55</v>
      </c>
    </row>
    <row r="13" spans="1:4" x14ac:dyDescent="0.25">
      <c r="A13">
        <v>12</v>
      </c>
      <c r="B13" s="8" t="s">
        <v>45</v>
      </c>
      <c r="C13" t="s">
        <v>44</v>
      </c>
      <c r="D13" t="s">
        <v>59</v>
      </c>
    </row>
    <row r="14" spans="1:4" x14ac:dyDescent="0.25">
      <c r="A14">
        <v>13</v>
      </c>
      <c r="B14" s="8" t="s">
        <v>46</v>
      </c>
      <c r="C14" t="s">
        <v>47</v>
      </c>
      <c r="D14" t="s">
        <v>60</v>
      </c>
    </row>
    <row r="15" spans="1:4" x14ac:dyDescent="0.25">
      <c r="A15">
        <v>14</v>
      </c>
      <c r="B15" s="8" t="s">
        <v>48</v>
      </c>
      <c r="C15" t="s">
        <v>49</v>
      </c>
      <c r="D1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Buddy Bazar RRP</dc:creator>
  <cp:lastModifiedBy>Buddy Bazar RRP</cp:lastModifiedBy>
  <dcterms:created xsi:type="dcterms:W3CDTF">2026-07-06T06:13:50Z</dcterms:created>
  <dcterms:modified xsi:type="dcterms:W3CDTF">2026-07-07T13:21:23Z</dcterms:modified>
</cp:coreProperties>
</file>